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baue\Desktop\Instacart\Achivement Four Project\"/>
    </mc:Choice>
  </mc:AlternateContent>
  <xr:revisionPtr revIDLastSave="0" documentId="13_ncr:1_{F6D0B355-0DC3-43D2-92A1-20702C917475}" xr6:coauthVersionLast="47" xr6:coauthVersionMax="47" xr10:uidLastSave="{00000000-0000-0000-0000-000000000000}"/>
  <bookViews>
    <workbookView xWindow="-120" yWindow="-120" windowWidth="29040" windowHeight="1572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externalReferences>
    <externalReference r:id="rId8"/>
  </externalReferenc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<sst xmlns="http://schemas.openxmlformats.org/spreadsheetml/2006/main" count="161" uniqueCount="134">
  <si>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</si>
  <si>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</si>
  <si>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</si>
  <si>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</si>
  <si>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</si>
  <si>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</si>
  <si>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</si>
  <si>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</si>
  <si>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</si>
  <si>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</si>
  <si>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</si>
  <si>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</si>
  <si>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</si>
  <si>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</si>
  <si>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</si>
  <si>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</si>
  <si>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</si>
  <si>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</si>
  <si>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</si>
  <si>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</si>
  <si>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</si>
  <si>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</si>
  <si>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</si>
  <si>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Removed</t>
  </si>
  <si>
    <t>Dropped 5 duplicates</t>
  </si>
  <si>
    <t>N/A</t>
  </si>
  <si>
    <t>None</t>
  </si>
  <si>
    <t>eval_set'</t>
  </si>
  <si>
    <t>'order_dow' : 'orders_day_of_week'</t>
  </si>
  <si>
    <t>'order_id' to str</t>
  </si>
  <si>
    <t>Not needed for analysis</t>
  </si>
  <si>
    <t>Easier to understand</t>
  </si>
  <si>
    <t>To exclude from descriptive stats</t>
  </si>
  <si>
    <t>first_name</t>
  </si>
  <si>
    <t>last_name</t>
  </si>
  <si>
    <t>PII and also not needed for analysis</t>
  </si>
  <si>
    <t>Gender to gender</t>
  </si>
  <si>
    <t>STATE to state</t>
  </si>
  <si>
    <t>Age to age</t>
  </si>
  <si>
    <t>Capitalization consistency</t>
  </si>
  <si>
    <t>df_ords_prods_merge</t>
  </si>
  <si>
    <t>prices</t>
  </si>
  <si>
    <t>max_order</t>
  </si>
  <si>
    <t>order_number and user_id</t>
  </si>
  <si>
    <t>df_ords_prods_merge['max_order'] = df_ords_prods_merge.groupby(['user_id'])['order_number'].transform('max')</t>
  </si>
  <si>
    <t>loyalty_flag</t>
  </si>
  <si>
    <t>['max_order'] &gt; 40, 'loyalty_flag'] = 'Loyal customer'
(['max_order'] &lt;= 40) &amp; (df_ords_prods_merge['max_order'] &gt; 10), 'loyalty_flag'] = 'Regular customer'
['max_order'] &lt;= 10, 'loyalty_flag'] = 'New customer'</t>
  </si>
  <si>
    <t>avg_product_price</t>
  </si>
  <si>
    <t>prices and user_id</t>
  </si>
  <si>
    <t>df_ords_prods_merge['avg_product_price'] = df_ords_prods_merge.groupby(['user_id'])['prices'].transform('mean')</t>
  </si>
  <si>
    <t>['avg_product_price'] &lt; 10, 'spending_flag'] = 'Low spender'
['avg_product_price'] &gt;= 10, 'spending_flag'] = 'High spender'</t>
  </si>
  <si>
    <t>days_since_prior_order and user_id</t>
  </si>
  <si>
    <t>df_ords_prods_merge['median_days_between_orders'] = df_ords_prods_merge.groupby(['user_id'])['days_since_prior_order'].transform('median')</t>
  </si>
  <si>
    <t>['median_days_between_orders'] &gt; 20, 'ordering_behavior'] = 'Non-frequent customer'
(['median_days_between_orders'] &gt; 10) &amp; (df_ords_prods_merge ['median_days_between_orders'] &lt;= 20), 'ordering_behavior'] = 'Regular customer'
['median_days_between_orders'] &lt;= 10, 'ordering_behavior'] = 'Frequent customer'</t>
  </si>
  <si>
    <t>df_2 (final dataframe)</t>
  </si>
  <si>
    <t>region</t>
  </si>
  <si>
    <t>state</t>
  </si>
  <si>
    <t>state_to_region = {
    # Northeast
    'Maine': 'Northeast', 'New Hampshire': 'Northeast', 'Vermont': 'Northeast', 'Massachusetts': 'Northeast', 
    'Rhode Island': 'Northeast', 'Connecticut': 'Northeast', 'New York': 'Northeast', 'Pennsylvania': 'Northeast', 'New Jersey': 'Northeast',
    # Midwest
    'Wisconsin': 'Midwest', 'Michigan': 'Midwest', 'Illinois': 'Midwest', 'Indiana': 'Midwest', 'Ohio': 'Midwest',
    'North Dakota': 'Midwest', 'South Dakota': 'Midwest', 'Nebraska': 'Midwest', 'Kansas': 'Midwest', 'Minnesota': 'Midwest', 
    'Iowa': 'Midwest', 'Missouri': 'Midwest',
    # South
    'Delaware': 'South', 'Maryland': 'South', 'District of Columbia': 'South', 'Virginia': 'South', 'West Virginia': 'South', 'North Carolina': 'South',
    'South Carolina': 'South', 'Georgia': 'South', 'Florida': 'South', 'Kentucky': 'South', 'Tennessee': 'South', 'Mississippi': 'South',
    'Alabama': 'South', 'Oklahoma': 'South', 'Texas': 'South', 'Arkansas': 'South', 'Louisiana': 'South',
    # West
    'Idaho': 'West', 'Montana': 'West', 'Wyoming': 'West', 'Nevada': 'West', 'Utah': 'West', 'Colorado': 'West', 'Arizona': 'West', 'New Mexico': 'West',
    'Alaska': 'West', 'Washington': 'West', 'Oregon': 'West', 'California': 'West', 'Hawaii': 'West'
}</t>
  </si>
  <si>
    <t>age_category</t>
  </si>
  <si>
    <t>age</t>
  </si>
  <si>
    <t>['age'] &lt;= 33, 'age_category'] = 'Young adult'
['age'] &gt; 33) &amp; ( df_2 ['age'] &lt; 65), 'age_category'] = 'Middle-aged adult'
['age'] &gt;= 65, 'age_category'] = 'Senior'</t>
  </si>
  <si>
    <t>income_category</t>
  </si>
  <si>
    <t>income</t>
  </si>
  <si>
    <t>['income'] &lt;30000, 'income_category'] = 'Low Income'
['income'] &gt;30000) &amp; (df_2['income'] &lt;= 99000), 'income_category'] = 'Average Income'
['income'] &gt; 99000, 'income_category'] = 'High Income'</t>
  </si>
  <si>
    <t>If price (&lt;= 5) = 'Low-range Product'
If price (&lt;5 and &lt;=15) = "Mid-range product"
If price (&gt;15) = 'High-range product'</t>
  </si>
  <si>
    <t>order_id</t>
  </si>
  <si>
    <t>med_dspo</t>
  </si>
  <si>
    <t xml:space="preserve"> </t>
  </si>
  <si>
    <t xml:space="preserve">Saturdays and Sundays have the most orders </t>
  </si>
  <si>
    <t>Tuesdays and Wednesdays are the least busy</t>
  </si>
  <si>
    <t>The busiest hours are 10am to 3 or 4pm</t>
  </si>
  <si>
    <t xml:space="preserve">The least busy hours are the overnight hours; around 10pm to 7 or 8am. </t>
  </si>
  <si>
    <t>These results show that ads should be run on Tuesdays and Wednesdays between the hours of 10pm to 8am in order to improve low sales numbers</t>
  </si>
  <si>
    <t>Fridays and Saturdays see the highest priced items purchased</t>
  </si>
  <si>
    <t>Given the information, the types of products advertised can be tailored to spending habits. Higher priced items on Fridays and Saturdays and during the hours of 1am to 7am.</t>
  </si>
  <si>
    <t xml:space="preserve">Marketing efforts could be better timed by shifting promotional activity to slower windows. </t>
  </si>
  <si>
    <t>Overnight hours of 10pm-8am (especially Tuesday and Wednesday) present opportunities for targeted ads or reminder notifications to stimulate demand when engagement is typically low.</t>
  </si>
  <si>
    <t xml:space="preserve">To increase order value during slower periods, Instacart could deploy time-sensitive promotions in the afternoon or evening, emphasizing frequently replenished or high-demand products. </t>
  </si>
  <si>
    <t>After 4pm, campaigns centered on dinner solutions, meal kits, or recipes may help re-engage customers and drive incremental sales.</t>
  </si>
  <si>
    <t>Key Question #2. Spending by Time of Day</t>
  </si>
  <si>
    <t>Key Question #3. Product and Department Popularity</t>
  </si>
  <si>
    <t>High-performing products should be prominently displayed within the app to streamline purchasing and increase conversion. Seasonal produce promotions could also be used to cross-sell complementary items.</t>
  </si>
  <si>
    <t>Additionally, bundling popular fruits with related products (for example, bananas paired with cereal or snacks) may encourage add-on purchases.</t>
  </si>
  <si>
    <t xml:space="preserve">Key Question #4. Customer Loyalty and Rentention </t>
  </si>
  <si>
    <t xml:space="preserve">Key Question # 1. Busiest Days and Hours </t>
  </si>
  <si>
    <t>Efforts should prioritize converting new and regular customers into loyal users through targeted incentives and personalized offers.</t>
  </si>
  <si>
    <t>Loyalty programs, reorder reminders, or exclusive discounts may help increase repeat usage and reduce customer drop-off before loyalty status is reached.</t>
  </si>
  <si>
    <t>Key Question #5. Regional Ordering Behavior</t>
  </si>
  <si>
    <t>Given the similarity across regions, nationwide promotions featuring top-selling departments are likely to be effective.</t>
  </si>
  <si>
    <t>However, deeper analysis at the individual product level may uncover more nuanced regional preferences worth exploring in future campaigns.</t>
  </si>
  <si>
    <t>Key Question #6. Age, Household Size and Ordering Habits</t>
  </si>
  <si>
    <t>Rather than segmenting promotions based on age or household type, marketing efforts may be more effective when focused on product preferences and past purchasing behavior. Personalized recommendations could outperform demographic-based targeting.</t>
  </si>
  <si>
    <t>Key Question #7. Demographic Classification and Income</t>
  </si>
  <si>
    <t>Lower-income customers represent a very small portion of users, but expanding affordable product options could help broaden market reach.</t>
  </si>
  <si>
    <t>The Northeast presents potential for growth, where region-specific promotions may help increase adoption and overall usage.</t>
  </si>
  <si>
    <t>Key Question #8. Differences Across Customer Profiles</t>
  </si>
  <si>
    <t>Department-level promotions should not be segmented by age, as preferences are largely uniform. Instead, emphasis should be placed on maintaining strong inventory levels for affordable, high-demand products.</t>
  </si>
  <si>
    <t>Given the prevalence of family households, expanding offerings in bulk goods, baby products, and household essentials—particularly during weekends—could drive additional sales growth.</t>
  </si>
  <si>
    <r>
      <rPr>
        <b/>
        <sz val="14"/>
        <color theme="1"/>
        <rFont val="Calibri"/>
        <family val="2"/>
        <scheme val="minor"/>
      </rPr>
      <t>Question 1:</t>
    </r>
    <r>
      <rPr>
        <sz val="14"/>
        <color theme="1"/>
        <rFont val="Calibri"/>
        <family val="2"/>
        <scheme val="minor"/>
      </rPr>
      <t xml:space="preserve"> The sales team needs to know what the busiest days of the week and hours of the day are (i.e., the days and times with the most orders) in order to schedule ads at times when there are fewer orders.</t>
    </r>
  </si>
  <si>
    <r>
      <rPr>
        <b/>
        <sz val="14"/>
        <color theme="1"/>
        <rFont val="Calibri"/>
        <family val="2"/>
        <scheme val="minor"/>
      </rPr>
      <t>Question 2:</t>
    </r>
    <r>
      <rPr>
        <sz val="14"/>
        <color theme="1"/>
        <rFont val="Calibri"/>
        <family val="2"/>
        <scheme val="minor"/>
      </rPr>
      <t xml:space="preserve"> Are there particular times of the day when people spend the most money, as this might inform the type of products they advertise at these times? </t>
    </r>
  </si>
  <si>
    <t>The most money is spend during the hours of 1am to 7am, which is also when the least number of orders are placed.</t>
  </si>
  <si>
    <r>
      <t xml:space="preserve">Question 3: </t>
    </r>
    <r>
      <rPr>
        <sz val="14"/>
        <color theme="1"/>
        <rFont val="Calibri"/>
        <family val="2"/>
        <scheme val="minor"/>
      </rPr>
      <t>Instacart has a lot of products with different price tags. Marketing and sales want to use simpler price range groupings to help direct their efforts.</t>
    </r>
    <r>
      <rPr>
        <b/>
        <sz val="14"/>
        <color theme="1"/>
        <rFont val="Calibri"/>
        <family val="2"/>
        <scheme val="minor"/>
      </rPr>
      <t xml:space="preserve"> </t>
    </r>
  </si>
  <si>
    <t>Price Distribution</t>
  </si>
  <si>
    <t>Price</t>
  </si>
  <si>
    <t>There are three categories of price ranges: low-range, mid-range and high-range. Most products are $15 and below.</t>
  </si>
  <si>
    <t>2/3 of all products sold are mid-range ($5-15). 1/3 are low-range (under $5). Only 1% are high-range (greater than $15).</t>
  </si>
  <si>
    <r>
      <t xml:space="preserve">Question 4. </t>
    </r>
    <r>
      <rPr>
        <sz val="14"/>
        <color theme="1"/>
        <rFont val="Calibri"/>
        <family val="2"/>
        <scheme val="minor"/>
      </rPr>
      <t>Are there certain types of products that are more popular than others? The Marketing and sales teams want to know which departments have the highest frequency of product orders.</t>
    </r>
  </si>
  <si>
    <t>The departments with the most orders are: Produce, Daiy and Eggs, Snacks, Beverages, and Frozen</t>
  </si>
  <si>
    <t>In the most popular department, produce, the most popular items are Bananas, a Bag of Organic Bananas, Organic Strawberries, Organic Baby Spinach</t>
  </si>
  <si>
    <r>
      <t xml:space="preserve">Question 5. </t>
    </r>
    <r>
      <rPr>
        <sz val="14"/>
        <color theme="1"/>
        <rFont val="Calibri"/>
        <family val="2"/>
        <scheme val="minor"/>
      </rPr>
      <t>The marketing and sales teams are particularly interested in the different types of customers in their system and how their ordering behaviors differ. What's the distribution among users in regards to their brand loyalty?</t>
    </r>
  </si>
  <si>
    <t xml:space="preserve">Customers are broken down into either Loyal Customers, Regular Customers or New Customers. </t>
  </si>
  <si>
    <t xml:space="preserve">Half of all customers are Regular Customers. 1/3 are Loyal Customers, and about 15% are New Customers. </t>
  </si>
  <si>
    <t>Since there are significantly more Regular Customers than Loyal Customers, customer rention could be improved.</t>
  </si>
  <si>
    <r>
      <rPr>
        <b/>
        <sz val="14"/>
        <color theme="1"/>
        <rFont val="Calibri"/>
        <family val="2"/>
        <scheme val="minor"/>
      </rPr>
      <t>Question 6.</t>
    </r>
    <r>
      <rPr>
        <sz val="14"/>
        <color theme="1"/>
        <rFont val="Calibri"/>
        <family val="2"/>
        <scheme val="minor"/>
      </rPr>
      <t xml:space="preserve"> Are there differences in ordering habits based on a customer's loyalty status?</t>
    </r>
  </si>
  <si>
    <t>Those customers with 40+ orders (Loyal Customers) place the most orders. In the low 30s</t>
  </si>
  <si>
    <t>New Customers with less than 10 orders place about 4 on average.</t>
  </si>
  <si>
    <t>Customers known as Regular Customers, who have beteen 10 and 40 orders lifetime, place about 12 on average.</t>
  </si>
  <si>
    <r>
      <t xml:space="preserve">Question 7. </t>
    </r>
    <r>
      <rPr>
        <sz val="14"/>
        <color theme="1"/>
        <rFont val="Calibri"/>
        <family val="2"/>
        <scheme val="minor"/>
      </rPr>
      <t>Are there differences in ordering habits based on a customer's region?</t>
    </r>
  </si>
  <si>
    <t>Produce is the highest selling department in every region.</t>
  </si>
  <si>
    <t>Every region also sees high numbers of orders from the Dairy and Eggs, Frozen, and Beverage departments as well</t>
  </si>
  <si>
    <t>There are not a lot of relevant differences in ordering habits by region.</t>
  </si>
  <si>
    <r>
      <t xml:space="preserve">Question 8. </t>
    </r>
    <r>
      <rPr>
        <sz val="14"/>
        <color theme="1"/>
        <rFont val="Calibri"/>
        <family val="2"/>
        <scheme val="minor"/>
      </rPr>
      <t>What different classification does the demographic information suggest?</t>
    </r>
  </si>
  <si>
    <t>In terms of income, the vast majority are either at an Average Salary ($30,000-$99,000) or a High Salary ($99,000)</t>
  </si>
  <si>
    <t>Only 1% of customers earn Low Income (less than $30,000).</t>
  </si>
  <si>
    <t xml:space="preserve">In terms of age distribution, about half are middle-aged, while about 25% are seniors and 25% young. </t>
  </si>
  <si>
    <t>There doesn't appear to be a strong relationship between Age and Income</t>
  </si>
  <si>
    <r>
      <t xml:space="preserve">Question 9. </t>
    </r>
    <r>
      <rPr>
        <sz val="14"/>
        <color theme="1"/>
        <rFont val="Calibri"/>
        <family val="2"/>
        <scheme val="minor"/>
      </rPr>
      <t xml:space="preserve">What differences can you find in ordering habits of different customer profiles? Consider the price of orders, frequency of orders, and products being ordered. </t>
    </r>
  </si>
  <si>
    <t>Customers of each age group order from the same departments</t>
  </si>
  <si>
    <t xml:space="preserve">Orders by day of the week are similar as well </t>
  </si>
  <si>
    <t xml:space="preserve">Similarities in ordering habits exist between all agre groups. </t>
  </si>
  <si>
    <t>spender_flag</t>
  </si>
  <si>
    <t>avg_price</t>
  </si>
  <si>
    <t>price_range</t>
  </si>
  <si>
    <t>Citation: “The Instacart Online Grocery Shopping Dataset 2017”, Accessed from www.instacart.com/datasets/grocery-shopping-2017 via Kaggle on 12/21/2025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</si>
</sst>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b/>
      <sz val="11"/>
      <color theme="1"/>
      <name val="Calibri"/>
      <family val="2"/>
      <scheme val="minor"/>
    </font>
    <font>
      <sz val="14"/>
      <color rgb="FF000000"/>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27">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s>
  <cellStyleXfs count="1">
    <xf numFmtId="0" fontId="0" fillId="0" borderId="0"/>
  </cellStyleXfs>
  <cellXfs count="51">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20" xfId="0" applyBorder="1"/>
    <xf numFmtId="0" fontId="0" fillId="0" borderId="21" xfId="0" applyBorder="1"/>
    <xf numFmtId="0" fontId="0" fillId="0" borderId="23" xfId="0" applyBorder="1"/>
    <xf numFmtId="0" fontId="0" fillId="0" borderId="22" xfId="0" applyBorder="1"/>
    <xf numFmtId="0" fontId="0" fillId="0" borderId="1" xfId="0" quotePrefix="1" applyBorder="1"/>
    <xf numFmtId="0" fontId="0" fillId="0" borderId="25" xfId="0" applyBorder="1"/>
    <xf numFmtId="0" fontId="0" fillId="0" borderId="26" xfId="0" applyBorder="1"/>
    <xf numFmtId="0" fontId="0" fillId="0" borderId="24" xfId="0" quotePrefix="1" applyBorder="1"/>
    <xf numFmtId="0" fontId="0" fillId="0" borderId="22" xfId="0" quotePrefix="1" applyBorder="1"/>
    <xf numFmtId="0" fontId="0" fillId="0" borderId="9" xfId="0" applyBorder="1" applyAlignment="1">
      <alignment horizontal="left"/>
    </xf>
    <xf numFmtId="0" fontId="0" fillId="3" borderId="11" xfId="0" applyFill="1" applyBorder="1" applyAlignment="1">
      <alignment horizontal="center" vertical="center"/>
    </xf>
    <xf numFmtId="0" fontId="0" fillId="3" borderId="0" xfId="0" applyFill="1"/>
    <xf numFmtId="0" fontId="0" fillId="3" borderId="5" xfId="0" applyFill="1" applyBorder="1" applyAlignment="1">
      <alignment horizontal="center" vertical="center"/>
    </xf>
    <xf numFmtId="0" fontId="0" fillId="3" borderId="17"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12" xfId="0" quotePrefix="1" applyFill="1" applyBorder="1" applyAlignment="1">
      <alignment horizontal="center" vertical="center"/>
    </xf>
    <xf numFmtId="0" fontId="0" fillId="3" borderId="13" xfId="0" applyFill="1" applyBorder="1" applyAlignment="1">
      <alignment vertical="center" wrapText="1"/>
    </xf>
    <xf numFmtId="0" fontId="0" fillId="3" borderId="12" xfId="0" applyFill="1" applyBorder="1" applyAlignment="1">
      <alignment horizontal="center" vertical="center"/>
    </xf>
    <xf numFmtId="0" fontId="0" fillId="3" borderId="18" xfId="0" quotePrefix="1" applyFill="1" applyBorder="1" applyAlignment="1">
      <alignment horizontal="center" vertical="center"/>
    </xf>
    <xf numFmtId="0" fontId="0" fillId="3" borderId="13" xfId="0" applyFill="1" applyBorder="1" applyAlignment="1">
      <alignment wrapText="1"/>
    </xf>
    <xf numFmtId="0" fontId="0" fillId="3" borderId="13" xfId="0" applyFill="1" applyBorder="1"/>
    <xf numFmtId="0" fontId="0" fillId="3" borderId="19" xfId="0" applyFill="1" applyBorder="1" applyAlignment="1">
      <alignment horizontal="center" vertical="center"/>
    </xf>
    <xf numFmtId="0" fontId="0" fillId="3" borderId="13" xfId="0" applyFill="1" applyBorder="1" applyAlignment="1">
      <alignment horizontal="left" vertical="center" wrapText="1"/>
    </xf>
    <xf numFmtId="0" fontId="8" fillId="0" borderId="0" xfId="0" applyFont="1"/>
    <xf numFmtId="0" fontId="7" fillId="0" borderId="0" xfId="0" applyFont="1"/>
    <xf numFmtId="0" fontId="9" fillId="0" borderId="0" xfId="0" applyFont="1"/>
    <xf numFmtId="0" fontId="10" fillId="0" borderId="0" xfId="0" applyFon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[1]Sheet1!$H$8</c:f>
              <c:strCache>
                <c:ptCount val="1"/>
                <c:pt idx="0">
                  <c:v>        Percentage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590-47FD-AA96-546AE33706B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590-47FD-AA96-546AE33706B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590-47FD-AA96-546AE33706BD}"/>
              </c:ext>
            </c:extLst>
          </c:dPt>
          <c:cat>
            <c:strRef>
              <c:f>[1]Sheet1!$G$9:$G$11</c:f>
              <c:strCache>
                <c:ptCount val="3"/>
                <c:pt idx="0">
                  <c:v>Low-range (&lt; $5)</c:v>
                </c:pt>
                <c:pt idx="1">
                  <c:v>Mid-range ($5–$15)</c:v>
                </c:pt>
                <c:pt idx="2">
                  <c:v>High-range (&gt; $15)</c:v>
                </c:pt>
              </c:strCache>
            </c:strRef>
          </c:cat>
          <c:val>
            <c:numRef>
              <c:f>[1]Sheet1!$H$9:$H$11</c:f>
              <c:numCache>
                <c:formatCode>General</c:formatCode>
                <c:ptCount val="3"/>
                <c:pt idx="0">
                  <c:v>31</c:v>
                </c:pt>
                <c:pt idx="1">
                  <c:v>67</c:v>
                </c:pt>
                <c:pt idx="2">
                  <c:v>1</c:v>
                </c:pt>
              </c:numCache>
            </c:numRef>
          </c:val>
          <c:extLst>
            <c:ext xmlns:c16="http://schemas.microsoft.com/office/drawing/2014/chart" uri="{C3380CC4-5D6E-409C-BE32-E72D297353CC}">
              <c16:uniqueId val="{00000006-4590-47FD-AA96-546AE33706B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chemeClr val="bg2">
                  <a:lumMod val="50000"/>
                </a:schemeClr>
              </a:solidFill>
            </a:rPr>
            <a:t>3,421,083</a:t>
          </a:r>
          <a:r>
            <a:rPr lang="en-US" sz="1400">
              <a:solidFill>
                <a:schemeClr val="bg2">
                  <a:lumMod val="50000"/>
                </a:schemeClr>
              </a:solidFill>
            </a:rPr>
            <a:t>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bg2">
                  <a:lumMod val="50000"/>
                </a:schemeClr>
              </a:solidFill>
            </a:rPr>
            <a:t>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chemeClr val="bg2">
                  <a:lumMod val="50000"/>
                </a:schemeClr>
              </a:solidFill>
            </a:rPr>
            <a:t>49,693</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bg2">
                  <a:lumMod val="50000"/>
                </a:schemeClr>
              </a:solidFill>
            </a:rPr>
            <a:t>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chemeClr val="bg2">
                  <a:lumMod val="50000"/>
                </a:schemeClr>
              </a:solidFill>
            </a:rPr>
            <a:t>32,434,489</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bg2">
                  <a:lumMod val="50000"/>
                </a:schemeClr>
              </a:solidFill>
            </a:rPr>
            <a:t>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1685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chemeClr val="bg2">
                  <a:lumMod val="50000"/>
                </a:schemeClr>
              </a:solidFill>
            </a:rPr>
            <a:t>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chemeClr val="bg2">
                  <a:lumMod val="50000"/>
                </a:schemeClr>
              </a:solidFill>
            </a:rPr>
            <a:t>206,209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45226">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48280" y="780970"/>
          <a:ext cx="558988" cy="636388"/>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82" y="108183"/>
          <a:ext cx="941007" cy="658674"/>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2342" y="140343"/>
        <a:ext cx="876687" cy="594354"/>
      </dsp:txXfrm>
    </dsp:sp>
    <dsp:sp modelId="{02D75559-D361-43C2-960D-0DE64B2217E1}">
      <dsp:nvSpPr>
        <dsp:cNvPr id="0" name=""/>
        <dsp:cNvSpPr/>
      </dsp:nvSpPr>
      <dsp:spPr>
        <a:xfrm>
          <a:off x="999011" y="171003"/>
          <a:ext cx="1506999" cy="53236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bg2">
                  <a:lumMod val="50000"/>
                </a:schemeClr>
              </a:solidFill>
            </a:rPr>
            <a:t>3,421,083</a:t>
          </a:r>
          <a:r>
            <a:rPr lang="en-US" sz="1400" kern="1200">
              <a:solidFill>
                <a:schemeClr val="bg2">
                  <a:lumMod val="50000"/>
                </a:schemeClr>
              </a:solidFill>
            </a:rPr>
            <a:t> </a:t>
          </a:r>
          <a:r>
            <a:rPr lang="en-US" sz="1200" kern="1200">
              <a:solidFill>
                <a:schemeClr val="bg2">
                  <a:lumMod val="50000"/>
                </a:schemeClr>
              </a:solidFill>
            </a:rPr>
            <a:t> </a:t>
          </a:r>
        </a:p>
      </dsp:txBody>
      <dsp:txXfrm>
        <a:off x="999011" y="171003"/>
        <a:ext cx="1506999" cy="532369"/>
      </dsp:txXfrm>
    </dsp:sp>
    <dsp:sp modelId="{9621899D-0F5A-435B-840E-4641491BFF2E}">
      <dsp:nvSpPr>
        <dsp:cNvPr id="0" name=""/>
        <dsp:cNvSpPr/>
      </dsp:nvSpPr>
      <dsp:spPr>
        <a:xfrm>
          <a:off x="791331" y="848092"/>
          <a:ext cx="1019431" cy="71800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26388" y="883149"/>
        <a:ext cx="949317" cy="647894"/>
      </dsp:txXfrm>
    </dsp:sp>
    <dsp:sp modelId="{FEDA8202-94DB-48E0-9F89-FDAC252494CB}">
      <dsp:nvSpPr>
        <dsp:cNvPr id="0" name=""/>
        <dsp:cNvSpPr/>
      </dsp:nvSpPr>
      <dsp:spPr>
        <a:xfrm>
          <a:off x="1787607" y="940578"/>
          <a:ext cx="1025592" cy="53236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bg2">
                  <a:lumMod val="50000"/>
                </a:schemeClr>
              </a:solidFill>
            </a:rPr>
            <a:t>3,421,083</a:t>
          </a:r>
        </a:p>
      </dsp:txBody>
      <dsp:txXfrm>
        <a:off x="1787607" y="940578"/>
        <a:ext cx="1025592" cy="53236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0283" y="1031947"/>
          <a:ext cx="604289" cy="687962"/>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83" y="297910"/>
          <a:ext cx="1017268" cy="712054"/>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4949" y="332676"/>
        <a:ext cx="947736" cy="642522"/>
      </dsp:txXfrm>
    </dsp:sp>
    <dsp:sp modelId="{02D75559-D361-43C2-960D-0DE64B2217E1}">
      <dsp:nvSpPr>
        <dsp:cNvPr id="0" name=""/>
        <dsp:cNvSpPr/>
      </dsp:nvSpPr>
      <dsp:spPr>
        <a:xfrm>
          <a:off x="1032541" y="345787"/>
          <a:ext cx="1430963" cy="5755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bg2">
                  <a:lumMod val="50000"/>
                </a:schemeClr>
              </a:solidFill>
            </a:rPr>
            <a:t>49,693</a:t>
          </a:r>
          <a:r>
            <a:rPr lang="en-US" sz="1400" kern="1200">
              <a:solidFill>
                <a:schemeClr val="bg2">
                  <a:lumMod val="50000"/>
                </a:schemeClr>
              </a:solidFill>
            </a:rPr>
            <a:t>  </a:t>
          </a:r>
          <a:endParaRPr lang="en-US" sz="1900" kern="1200">
            <a:solidFill>
              <a:schemeClr val="bg2">
                <a:lumMod val="50000"/>
              </a:schemeClr>
            </a:solidFill>
          </a:endParaRPr>
        </a:p>
      </dsp:txBody>
      <dsp:txXfrm>
        <a:off x="1032541" y="345787"/>
        <a:ext cx="1430963" cy="575514"/>
      </dsp:txXfrm>
    </dsp:sp>
    <dsp:sp modelId="{9621899D-0F5A-435B-840E-4641491BFF2E}">
      <dsp:nvSpPr>
        <dsp:cNvPr id="0" name=""/>
        <dsp:cNvSpPr/>
      </dsp:nvSpPr>
      <dsp:spPr>
        <a:xfrm>
          <a:off x="869189" y="1097782"/>
          <a:ext cx="1017268" cy="712054"/>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03955" y="1132548"/>
        <a:ext cx="947736" cy="642522"/>
      </dsp:txXfrm>
    </dsp:sp>
    <dsp:sp modelId="{FEDA8202-94DB-48E0-9F89-FDAC252494CB}">
      <dsp:nvSpPr>
        <dsp:cNvPr id="0" name=""/>
        <dsp:cNvSpPr/>
      </dsp:nvSpPr>
      <dsp:spPr>
        <a:xfrm>
          <a:off x="1906525" y="1165693"/>
          <a:ext cx="739863" cy="5755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bg2">
                  <a:lumMod val="50000"/>
                </a:schemeClr>
              </a:solidFill>
            </a:rPr>
            <a:t>49,672</a:t>
          </a:r>
        </a:p>
      </dsp:txBody>
      <dsp:txXfrm>
        <a:off x="1906525" y="1165693"/>
        <a:ext cx="739863" cy="57551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75901" y="1294359"/>
          <a:ext cx="781051" cy="539895"/>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6150" y="592643"/>
          <a:ext cx="1936512" cy="51870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1476" y="617969"/>
        <a:ext cx="1885860" cy="468056"/>
      </dsp:txXfrm>
    </dsp:sp>
    <dsp:sp modelId="{02D75559-D361-43C2-960D-0DE64B2217E1}">
      <dsp:nvSpPr>
        <dsp:cNvPr id="0" name=""/>
        <dsp:cNvSpPr/>
      </dsp:nvSpPr>
      <dsp:spPr>
        <a:xfrm>
          <a:off x="1908341" y="435955"/>
          <a:ext cx="1157389" cy="7704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bg2">
                  <a:lumMod val="50000"/>
                </a:schemeClr>
              </a:solidFill>
            </a:rPr>
            <a:t>32,434,489</a:t>
          </a:r>
          <a:r>
            <a:rPr lang="en-US" sz="1400" kern="1200">
              <a:solidFill>
                <a:schemeClr val="bg2">
                  <a:lumMod val="50000"/>
                </a:schemeClr>
              </a:solidFill>
            </a:rPr>
            <a:t> </a:t>
          </a:r>
          <a:endParaRPr lang="en-US" sz="1900" kern="1200">
            <a:solidFill>
              <a:schemeClr val="bg2">
                <a:lumMod val="50000"/>
              </a:schemeClr>
            </a:solidFill>
          </a:endParaRPr>
        </a:p>
      </dsp:txBody>
      <dsp:txXfrm>
        <a:off x="1908341" y="435955"/>
        <a:ext cx="1157389" cy="770455"/>
      </dsp:txXfrm>
    </dsp:sp>
    <dsp:sp modelId="{9621899D-0F5A-435B-840E-4641491BFF2E}">
      <dsp:nvSpPr>
        <dsp:cNvPr id="0" name=""/>
        <dsp:cNvSpPr/>
      </dsp:nvSpPr>
      <dsp:spPr>
        <a:xfrm>
          <a:off x="842502" y="1465763"/>
          <a:ext cx="1975447" cy="627883"/>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73158" y="1496419"/>
        <a:ext cx="1914135" cy="566571"/>
      </dsp:txXfrm>
    </dsp:sp>
    <dsp:sp modelId="{FEDA8202-94DB-48E0-9F89-FDAC252494CB}">
      <dsp:nvSpPr>
        <dsp:cNvPr id="0" name=""/>
        <dsp:cNvSpPr/>
      </dsp:nvSpPr>
      <dsp:spPr>
        <a:xfrm>
          <a:off x="2875581" y="1390832"/>
          <a:ext cx="1075823" cy="7704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bg2">
                  <a:lumMod val="50000"/>
                </a:schemeClr>
              </a:solidFill>
            </a:rPr>
            <a:t>32,434,489</a:t>
          </a:r>
        </a:p>
      </dsp:txBody>
      <dsp:txXfrm>
        <a:off x="2875581" y="1390832"/>
        <a:ext cx="1075823" cy="770455"/>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4214" y="1080189"/>
          <a:ext cx="615237" cy="700426"/>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213" y="339701"/>
          <a:ext cx="1035697" cy="724954"/>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6609" y="375097"/>
        <a:ext cx="964905" cy="654162"/>
      </dsp:txXfrm>
    </dsp:sp>
    <dsp:sp modelId="{02D75559-D361-43C2-960D-0DE64B2217E1}">
      <dsp:nvSpPr>
        <dsp:cNvPr id="0" name=""/>
        <dsp:cNvSpPr/>
      </dsp:nvSpPr>
      <dsp:spPr>
        <a:xfrm>
          <a:off x="866575" y="408842"/>
          <a:ext cx="1093940" cy="58594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bg2">
                  <a:lumMod val="50000"/>
                </a:schemeClr>
              </a:solidFill>
            </a:rPr>
            <a:t>206,209</a:t>
          </a:r>
        </a:p>
      </dsp:txBody>
      <dsp:txXfrm>
        <a:off x="866575" y="408842"/>
        <a:ext cx="1093940" cy="585940"/>
      </dsp:txXfrm>
    </dsp:sp>
    <dsp:sp modelId="{9621899D-0F5A-435B-840E-4641491BFF2E}">
      <dsp:nvSpPr>
        <dsp:cNvPr id="0" name=""/>
        <dsp:cNvSpPr/>
      </dsp:nvSpPr>
      <dsp:spPr>
        <a:xfrm>
          <a:off x="961005" y="1221761"/>
          <a:ext cx="1035697" cy="724954"/>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96401" y="1257157"/>
        <a:ext cx="964905" cy="654162"/>
      </dsp:txXfrm>
    </dsp:sp>
    <dsp:sp modelId="{FEDA8202-94DB-48E0-9F89-FDAC252494CB}">
      <dsp:nvSpPr>
        <dsp:cNvPr id="0" name=""/>
        <dsp:cNvSpPr/>
      </dsp:nvSpPr>
      <dsp:spPr>
        <a:xfrm>
          <a:off x="1978591" y="1223206"/>
          <a:ext cx="753267" cy="58594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chemeClr val="bg2">
                  <a:lumMod val="50000"/>
                </a:schemeClr>
              </a:solidFill>
            </a:rPr>
            <a:t>206,209</a:t>
          </a:r>
        </a:p>
      </dsp:txBody>
      <dsp:txXfrm>
        <a:off x="1978591" y="1223206"/>
        <a:ext cx="753267" cy="585940"/>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11.png"/><Relationship Id="rId17" Type="http://schemas.openxmlformats.org/officeDocument/2006/relationships/image" Target="../media/image16.png"/><Relationship Id="rId2" Type="http://schemas.openxmlformats.org/officeDocument/2006/relationships/image" Target="../media/image2.png"/><Relationship Id="rId16"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Acheivement Four Final Project - Instacart</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12/21/2025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Ryan Bauer</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Acheivement</a:t>
          </a:r>
          <a:r>
            <a:rPr lang="en-US" sz="24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Four Final Project</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425976" y="3660319"/>
          <a:ext cx="2328333" cy="494395"/>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617604" y="3669392"/>
          <a:ext cx="2237621" cy="485323"/>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218965" y="3560535"/>
          <a:ext cx="2521859" cy="627442"/>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451672" y="4133555"/>
          <a:ext cx="1265471" cy="574518"/>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bg2">
                    <a:lumMod val="50000"/>
                  </a:schemeClr>
                </a:solidFill>
              </a:rPr>
              <a:t>32,434,489</a:t>
            </a:r>
            <a:endParaRPr lang="en-US" sz="1200" b="1"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657067" y="4032253"/>
          <a:ext cx="1298576" cy="580568"/>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chemeClr val="bg2">
                    <a:lumMod val="50000"/>
                  </a:schemeClr>
                </a:solidFill>
              </a:rPr>
              <a:t>32,404,859</a:t>
            </a:r>
            <a:endParaRPr lang="en-US" sz="1200" b="1"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315722" y="4115416"/>
          <a:ext cx="1344087" cy="493441"/>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b="1" kern="1200" baseline="0"/>
              <a:t>32,404,859</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baseline="0">
              <a:solidFill>
                <a:schemeClr val="bg2">
                  <a:lumMod val="50000"/>
                </a:schemeClr>
              </a:solidFill>
            </a:rPr>
            <a:t>Size of final dataframe:</a:t>
          </a:r>
        </a:p>
        <a:p>
          <a:endParaRPr lang="en-US" sz="1600" b="1" baseline="0">
            <a:solidFill>
              <a:schemeClr val="bg2">
                <a:lumMod val="50000"/>
              </a:schemeClr>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dk1"/>
              </a:solidFill>
              <a:effectLst/>
              <a:latin typeface="+mn-lt"/>
              <a:ea typeface="+mn-ea"/>
              <a:cs typeface="+mn-cs"/>
            </a:rPr>
            <a:t>30,964,564</a:t>
          </a:r>
        </a:p>
        <a:p>
          <a:pPr algn="ctr"/>
          <a:endParaRPr lang="en-US" sz="1600" b="0" baseline="0">
            <a:solidFill>
              <a:schemeClr val="bg2">
                <a:lumMod val="50000"/>
              </a:schemeClr>
            </a:solidFill>
          </a:endParaRPr>
        </a:p>
        <a:p>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1151348</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15</xdr:row>
      <xdr:rowOff>0</xdr:rowOff>
    </xdr:from>
    <xdr:to>
      <xdr:col>11</xdr:col>
      <xdr:colOff>95250</xdr:colOff>
      <xdr:row>38</xdr:row>
      <xdr:rowOff>95250</xdr:rowOff>
    </xdr:to>
    <xdr:pic>
      <xdr:nvPicPr>
        <xdr:cNvPr id="8" name="Picture 7">
          <a:extLst>
            <a:ext uri="{FF2B5EF4-FFF2-40B4-BE49-F238E27FC236}">
              <a16:creationId xmlns:a16="http://schemas.microsoft.com/office/drawing/2014/main" id="{C20BF4C2-CA1B-DF26-7747-6D5855B292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3000375"/>
          <a:ext cx="6000750" cy="447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16</xdr:row>
      <xdr:rowOff>0</xdr:rowOff>
    </xdr:from>
    <xdr:to>
      <xdr:col>23</xdr:col>
      <xdr:colOff>57150</xdr:colOff>
      <xdr:row>39</xdr:row>
      <xdr:rowOff>95250</xdr:rowOff>
    </xdr:to>
    <xdr:pic>
      <xdr:nvPicPr>
        <xdr:cNvPr id="9" name="Picture 8">
          <a:extLst>
            <a:ext uri="{FF2B5EF4-FFF2-40B4-BE49-F238E27FC236}">
              <a16:creationId xmlns:a16="http://schemas.microsoft.com/office/drawing/2014/main" id="{095CED5B-1FE5-D85A-2D77-CDECD1AB3A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53300" y="3190875"/>
          <a:ext cx="6000750" cy="447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107156</xdr:colOff>
      <xdr:row>57</xdr:row>
      <xdr:rowOff>119063</xdr:rowOff>
    </xdr:from>
    <xdr:to>
      <xdr:col>11</xdr:col>
      <xdr:colOff>77901</xdr:colOff>
      <xdr:row>82</xdr:row>
      <xdr:rowOff>64636</xdr:rowOff>
    </xdr:to>
    <xdr:pic>
      <xdr:nvPicPr>
        <xdr:cNvPr id="12" name="Picture 11">
          <a:extLst>
            <a:ext uri="{FF2B5EF4-FFF2-40B4-BE49-F238E27FC236}">
              <a16:creationId xmlns:a16="http://schemas.microsoft.com/office/drawing/2014/main" id="{E3F35C9D-B508-4A05-99D6-809FFD1D433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9094" y="11120438"/>
          <a:ext cx="5923870" cy="4708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59</xdr:row>
      <xdr:rowOff>0</xdr:rowOff>
    </xdr:from>
    <xdr:to>
      <xdr:col>21</xdr:col>
      <xdr:colOff>225993</xdr:colOff>
      <xdr:row>83</xdr:row>
      <xdr:rowOff>141740</xdr:rowOff>
    </xdr:to>
    <xdr:pic>
      <xdr:nvPicPr>
        <xdr:cNvPr id="13" name="Picture 12">
          <a:extLst>
            <a:ext uri="{FF2B5EF4-FFF2-40B4-BE49-F238E27FC236}">
              <a16:creationId xmlns:a16="http://schemas.microsoft.com/office/drawing/2014/main" id="{15860116-1779-46D8-B3C8-71F6C3A540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05688" y="11382375"/>
          <a:ext cx="5024211" cy="4713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47626</xdr:colOff>
      <xdr:row>102</xdr:row>
      <xdr:rowOff>23811</xdr:rowOff>
    </xdr:from>
    <xdr:to>
      <xdr:col>11</xdr:col>
      <xdr:colOff>448129</xdr:colOff>
      <xdr:row>128</xdr:row>
      <xdr:rowOff>178361</xdr:rowOff>
    </xdr:to>
    <xdr:pic>
      <xdr:nvPicPr>
        <xdr:cNvPr id="17" name="Picture 16">
          <a:extLst>
            <a:ext uri="{FF2B5EF4-FFF2-40B4-BE49-F238E27FC236}">
              <a16:creationId xmlns:a16="http://schemas.microsoft.com/office/drawing/2014/main" id="{63EC319E-1392-450A-A0EF-2ED13E5FC2A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9564" y="19883436"/>
          <a:ext cx="6353628" cy="510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595311</xdr:colOff>
      <xdr:row>104</xdr:row>
      <xdr:rowOff>190499</xdr:rowOff>
    </xdr:from>
    <xdr:to>
      <xdr:col>27</xdr:col>
      <xdr:colOff>95249</xdr:colOff>
      <xdr:row>127</xdr:row>
      <xdr:rowOff>35718</xdr:rowOff>
    </xdr:to>
    <xdr:graphicFrame macro="">
      <xdr:nvGraphicFramePr>
        <xdr:cNvPr id="7" name="Chart 6">
          <a:extLst>
            <a:ext uri="{FF2B5EF4-FFF2-40B4-BE49-F238E27FC236}">
              <a16:creationId xmlns:a16="http://schemas.microsoft.com/office/drawing/2014/main" id="{C49EC6CE-B6C2-4B13-8117-5E57AE96C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139</xdr:row>
      <xdr:rowOff>0</xdr:rowOff>
    </xdr:from>
    <xdr:to>
      <xdr:col>11</xdr:col>
      <xdr:colOff>95250</xdr:colOff>
      <xdr:row>162</xdr:row>
      <xdr:rowOff>95250</xdr:rowOff>
    </xdr:to>
    <xdr:pic>
      <xdr:nvPicPr>
        <xdr:cNvPr id="10" name="Picture 9">
          <a:extLst>
            <a:ext uri="{FF2B5EF4-FFF2-40B4-BE49-F238E27FC236}">
              <a16:creationId xmlns:a16="http://schemas.microsoft.com/office/drawing/2014/main" id="{162376B7-0C49-FD0B-C4EA-37E90F5DC79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6700" y="27051000"/>
          <a:ext cx="6000750" cy="447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140</xdr:row>
      <xdr:rowOff>0</xdr:rowOff>
    </xdr:from>
    <xdr:to>
      <xdr:col>25</xdr:col>
      <xdr:colOff>85725</xdr:colOff>
      <xdr:row>163</xdr:row>
      <xdr:rowOff>95250</xdr:rowOff>
    </xdr:to>
    <xdr:pic>
      <xdr:nvPicPr>
        <xdr:cNvPr id="11" name="Picture 10">
          <a:extLst>
            <a:ext uri="{FF2B5EF4-FFF2-40B4-BE49-F238E27FC236}">
              <a16:creationId xmlns:a16="http://schemas.microsoft.com/office/drawing/2014/main" id="{6EE15C95-A342-D5CE-0DE0-F9968639457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572500" y="27241500"/>
          <a:ext cx="5991225" cy="447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213</xdr:row>
      <xdr:rowOff>0</xdr:rowOff>
    </xdr:from>
    <xdr:to>
      <xdr:col>11</xdr:col>
      <xdr:colOff>95250</xdr:colOff>
      <xdr:row>236</xdr:row>
      <xdr:rowOff>95250</xdr:rowOff>
    </xdr:to>
    <xdr:pic>
      <xdr:nvPicPr>
        <xdr:cNvPr id="15" name="Picture 14">
          <a:extLst>
            <a:ext uri="{FF2B5EF4-FFF2-40B4-BE49-F238E27FC236}">
              <a16:creationId xmlns:a16="http://schemas.microsoft.com/office/drawing/2014/main" id="{B89B81BE-EC17-BEA1-635D-71E9CDB0128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66700" y="41624250"/>
          <a:ext cx="6000750" cy="447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0</xdr:rowOff>
    </xdr:from>
    <xdr:to>
      <xdr:col>11</xdr:col>
      <xdr:colOff>95250</xdr:colOff>
      <xdr:row>197</xdr:row>
      <xdr:rowOff>95250</xdr:rowOff>
    </xdr:to>
    <xdr:pic>
      <xdr:nvPicPr>
        <xdr:cNvPr id="16" name="Picture 15">
          <a:extLst>
            <a:ext uri="{FF2B5EF4-FFF2-40B4-BE49-F238E27FC236}">
              <a16:creationId xmlns:a16="http://schemas.microsoft.com/office/drawing/2014/main" id="{EDA1243B-B7F3-4C31-1F2E-A0F6295DB01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66700" y="33909000"/>
          <a:ext cx="6000750" cy="447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166688</xdr:colOff>
      <xdr:row>247</xdr:row>
      <xdr:rowOff>178594</xdr:rowOff>
    </xdr:from>
    <xdr:to>
      <xdr:col>15</xdr:col>
      <xdr:colOff>369094</xdr:colOff>
      <xdr:row>282</xdr:row>
      <xdr:rowOff>147526</xdr:rowOff>
    </xdr:to>
    <xdr:pic>
      <xdr:nvPicPr>
        <xdr:cNvPr id="18" name="Picture 17">
          <a:extLst>
            <a:ext uri="{FF2B5EF4-FFF2-40B4-BE49-F238E27FC236}">
              <a16:creationId xmlns:a16="http://schemas.microsoft.com/office/drawing/2014/main" id="{0605C6AB-7189-40B2-807D-B0E3C2B846A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28626" y="48327469"/>
          <a:ext cx="8572499" cy="6636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285750</xdr:colOff>
      <xdr:row>297</xdr:row>
      <xdr:rowOff>178593</xdr:rowOff>
    </xdr:from>
    <xdr:to>
      <xdr:col>10</xdr:col>
      <xdr:colOff>166687</xdr:colOff>
      <xdr:row>323</xdr:row>
      <xdr:rowOff>142535</xdr:rowOff>
    </xdr:to>
    <xdr:pic>
      <xdr:nvPicPr>
        <xdr:cNvPr id="19" name="Picture 18">
          <a:extLst>
            <a:ext uri="{FF2B5EF4-FFF2-40B4-BE49-F238E27FC236}">
              <a16:creationId xmlns:a16="http://schemas.microsoft.com/office/drawing/2014/main" id="{3F23338D-6291-4322-A82E-9FD08E398F7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143000" y="58185843"/>
          <a:ext cx="4643437" cy="4916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298</xdr:row>
      <xdr:rowOff>0</xdr:rowOff>
    </xdr:from>
    <xdr:to>
      <xdr:col>23</xdr:col>
      <xdr:colOff>428625</xdr:colOff>
      <xdr:row>323</xdr:row>
      <xdr:rowOff>144926</xdr:rowOff>
    </xdr:to>
    <xdr:pic>
      <xdr:nvPicPr>
        <xdr:cNvPr id="20" name="Picture 19">
          <a:extLst>
            <a:ext uri="{FF2B5EF4-FFF2-40B4-BE49-F238E27FC236}">
              <a16:creationId xmlns:a16="http://schemas.microsoft.com/office/drawing/2014/main" id="{F8FF2F2B-B9E3-4639-AE3B-ED7FBF52216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227344" y="58197750"/>
          <a:ext cx="4595812" cy="4907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298</xdr:row>
      <xdr:rowOff>0</xdr:rowOff>
    </xdr:from>
    <xdr:to>
      <xdr:col>40</xdr:col>
      <xdr:colOff>190500</xdr:colOff>
      <xdr:row>322</xdr:row>
      <xdr:rowOff>0</xdr:rowOff>
    </xdr:to>
    <xdr:pic>
      <xdr:nvPicPr>
        <xdr:cNvPr id="21" name="Picture 20">
          <a:extLst>
            <a:ext uri="{FF2B5EF4-FFF2-40B4-BE49-F238E27FC236}">
              <a16:creationId xmlns:a16="http://schemas.microsoft.com/office/drawing/2014/main" id="{536F3B93-8905-FD8E-A55D-734DD6C94DA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430750" y="58197750"/>
          <a:ext cx="6096000" cy="457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83343</xdr:colOff>
      <xdr:row>338</xdr:row>
      <xdr:rowOff>107156</xdr:rowOff>
    </xdr:from>
    <xdr:to>
      <xdr:col>13</xdr:col>
      <xdr:colOff>23811</xdr:colOff>
      <xdr:row>369</xdr:row>
      <xdr:rowOff>185853</xdr:rowOff>
    </xdr:to>
    <xdr:pic>
      <xdr:nvPicPr>
        <xdr:cNvPr id="22" name="Picture 21">
          <a:extLst>
            <a:ext uri="{FF2B5EF4-FFF2-40B4-BE49-F238E27FC236}">
              <a16:creationId xmlns:a16="http://schemas.microsoft.com/office/drawing/2014/main" id="{1D9D8394-0797-4B44-9726-7BA65240383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45281" y="65972531"/>
          <a:ext cx="7084218" cy="5984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339</xdr:row>
      <xdr:rowOff>0</xdr:rowOff>
    </xdr:from>
    <xdr:to>
      <xdr:col>25</xdr:col>
      <xdr:colOff>95250</xdr:colOff>
      <xdr:row>362</xdr:row>
      <xdr:rowOff>95250</xdr:rowOff>
    </xdr:to>
    <xdr:pic>
      <xdr:nvPicPr>
        <xdr:cNvPr id="23" name="Picture 22">
          <a:extLst>
            <a:ext uri="{FF2B5EF4-FFF2-40B4-BE49-F238E27FC236}">
              <a16:creationId xmlns:a16="http://schemas.microsoft.com/office/drawing/2014/main" id="{1BE1D63A-B47D-9B96-FEA3-00242D7B986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8572500" y="66103500"/>
          <a:ext cx="6000750" cy="447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8">
          <cell r="H8" t="str">
            <v xml:space="preserve">        Percentage</v>
          </cell>
        </row>
        <row r="9">
          <cell r="G9" t="str">
            <v>Low-range (&lt; $5)</v>
          </cell>
          <cell r="H9">
            <v>31</v>
          </cell>
        </row>
        <row r="10">
          <cell r="G10" t="str">
            <v>Mid-range ($5–$15)</v>
          </cell>
          <cell r="H10">
            <v>67</v>
          </cell>
        </row>
        <row r="11">
          <cell r="G11" t="str">
            <v>High-range (&gt; $15)</v>
          </cell>
          <cell r="H11">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2"/>
  <sheetViews>
    <sheetView showGridLines="0" tabSelected="1" zoomScale="80" zoomScaleNormal="80" workbookViewId="0">
      <selection activeCell="I32" sqref="I32"/>
    </sheetView>
  </sheetViews>
  <sheetFormatPr defaultColWidth="8.85546875" defaultRowHeight="15"/>
  <sheetData>
    <row r="13" spans="2:2" ht="15.75">
      <c r="B13" s="19" t="s">
        <v>0</v>
      </c>
    </row>
    <row r="14" spans="2:2">
      <c r="B14" s="18" t="s">
        <v>15</v>
      </c>
    </row>
    <row r="15" spans="2:2">
      <c r="B15" s="18" t="s">
        <v>16</v>
      </c>
    </row>
    <row r="16" spans="2:2">
      <c r="B16" s="18" t="s">
        <v>17</v>
      </c>
    </row>
    <row r="17" spans="2:2">
      <c r="B17" s="18" t="s">
        <v>18</v>
      </c>
    </row>
    <row r="18" spans="2:2">
      <c r="B18" s="18" t="s">
        <v>20</v>
      </c>
    </row>
    <row r="19" spans="2:2">
      <c r="B19" s="18" t="s">
        <v>22</v>
      </c>
    </row>
    <row r="22" spans="2:2">
      <c r="B22" t="s">
        <v>133</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topLeftCell="A2" zoomScale="70" zoomScaleNormal="70" workbookViewId="0">
      <selection activeCell="AA39" sqref="AA39"/>
    </sheetView>
  </sheetViews>
  <sheetFormatPr defaultColWidth="8.5703125" defaultRowHeight="13.5"/>
  <cols>
    <col min="1" max="1" width="5.42578125" style="1" customWidth="1"/>
    <col min="2" max="24" width="8.5703125" style="1"/>
    <col min="25" max="25" width="12.85546875" style="1" bestFit="1" customWidth="1"/>
    <col min="26" max="16384" width="8.5703125" style="1"/>
  </cols>
  <sheetData>
    <row r="1" spans="25:25" ht="17.25">
      <c r="Y1" s="20" t="s">
        <v>19</v>
      </c>
    </row>
    <row r="2" spans="25:25" ht="17.25">
      <c r="Y2" s="20"/>
    </row>
    <row r="6" spans="25:25" ht="8.4499999999999993"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C36" sqref="C36"/>
    </sheetView>
  </sheetViews>
  <sheetFormatPr defaultColWidth="8.85546875" defaultRowHeight="15"/>
  <cols>
    <col min="1" max="1" width="4.5703125" customWidth="1"/>
    <col min="2" max="3" width="22.42578125" customWidth="1"/>
    <col min="4" max="4" width="27.42578125" customWidth="1"/>
    <col min="5" max="5" width="35.42578125" customWidth="1"/>
  </cols>
  <sheetData>
    <row r="1" spans="2:9">
      <c r="I1" s="21" t="s">
        <v>19</v>
      </c>
    </row>
    <row r="5" spans="2:9" ht="15.75" thickBot="1"/>
    <row r="6" spans="2:9" ht="24.6" customHeight="1" thickTop="1" thickBot="1">
      <c r="B6" s="6" t="s">
        <v>6</v>
      </c>
      <c r="C6" s="7" t="s">
        <v>7</v>
      </c>
      <c r="D6" s="7" t="s">
        <v>8</v>
      </c>
      <c r="E6" s="8" t="s">
        <v>9</v>
      </c>
    </row>
    <row r="7" spans="2:9" ht="16.5" thickTop="1" thickBot="1">
      <c r="B7" s="9" t="s">
        <v>10</v>
      </c>
      <c r="C7" s="10" t="s">
        <v>26</v>
      </c>
      <c r="D7" s="10" t="s">
        <v>25</v>
      </c>
      <c r="E7" s="11" t="s">
        <v>26</v>
      </c>
    </row>
    <row r="8" spans="2:9" ht="15.75" thickTop="1">
      <c r="B8" s="12" t="s">
        <v>11</v>
      </c>
      <c r="C8" s="32">
        <v>16</v>
      </c>
      <c r="D8" s="10" t="s">
        <v>23</v>
      </c>
      <c r="E8" s="11" t="s">
        <v>24</v>
      </c>
    </row>
    <row r="9" spans="2:9">
      <c r="B9" s="12" t="s">
        <v>12</v>
      </c>
      <c r="C9" s="13" t="s">
        <v>25</v>
      </c>
      <c r="D9" s="13" t="s">
        <v>25</v>
      </c>
      <c r="E9" s="14" t="s">
        <v>25</v>
      </c>
    </row>
    <row r="10" spans="2:9">
      <c r="B10" s="12" t="s">
        <v>13</v>
      </c>
      <c r="C10" s="13" t="s">
        <v>26</v>
      </c>
      <c r="D10" s="13" t="s">
        <v>25</v>
      </c>
      <c r="E10" s="14" t="s">
        <v>26</v>
      </c>
    </row>
    <row r="11" spans="2:9">
      <c r="B11" s="12"/>
      <c r="C11" s="13"/>
      <c r="D11" s="13"/>
      <c r="E11" s="14"/>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5">
      <c r="B17" s="12"/>
      <c r="C17" s="13"/>
      <c r="D17" s="13"/>
      <c r="E17" s="14"/>
    </row>
    <row r="18" spans="2:5">
      <c r="B18" s="12"/>
      <c r="C18" s="13"/>
      <c r="D18" s="13"/>
      <c r="E18" s="14"/>
    </row>
    <row r="19" spans="2:5">
      <c r="B19" s="12"/>
      <c r="C19" s="13"/>
      <c r="D19" s="13"/>
      <c r="E19" s="14"/>
    </row>
    <row r="20" spans="2:5" ht="15.75" thickBot="1">
      <c r="B20" s="15"/>
      <c r="C20" s="16"/>
      <c r="D20" s="16"/>
      <c r="E20" s="17"/>
    </row>
    <row r="21" spans="2:5" ht="15.7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E35" sqref="E35"/>
    </sheetView>
  </sheetViews>
  <sheetFormatPr defaultColWidth="8.85546875" defaultRowHeight="15"/>
  <cols>
    <col min="1" max="1" width="4.42578125" customWidth="1"/>
    <col min="2" max="2" width="26.85546875" customWidth="1"/>
    <col min="3" max="3" width="36.140625" customWidth="1"/>
    <col min="4" max="4" width="24.7109375" customWidth="1"/>
    <col min="5" max="5" width="45" bestFit="1" customWidth="1"/>
  </cols>
  <sheetData>
    <row r="1" spans="2:8">
      <c r="H1" s="21" t="s">
        <v>19</v>
      </c>
    </row>
    <row r="5" spans="2:8" ht="15.75" thickBot="1"/>
    <row r="6" spans="2:8" ht="23.1" customHeight="1" thickTop="1" thickBot="1">
      <c r="B6" s="6" t="s">
        <v>1</v>
      </c>
      <c r="C6" s="7" t="s">
        <v>2</v>
      </c>
      <c r="D6" s="7" t="s">
        <v>3</v>
      </c>
      <c r="E6" s="8" t="s">
        <v>4</v>
      </c>
    </row>
    <row r="7" spans="2:8" ht="16.5" thickTop="1" thickBot="1">
      <c r="B7" s="30" t="s">
        <v>27</v>
      </c>
      <c r="C7" s="26"/>
      <c r="D7" s="31"/>
      <c r="E7" s="25" t="s">
        <v>30</v>
      </c>
    </row>
    <row r="8" spans="2:8" ht="15.75" thickTop="1">
      <c r="B8" s="27"/>
      <c r="C8" s="26" t="s">
        <v>28</v>
      </c>
      <c r="D8" s="23"/>
      <c r="E8" s="3" t="s">
        <v>31</v>
      </c>
    </row>
    <row r="9" spans="2:8">
      <c r="B9" s="2"/>
      <c r="C9" s="28"/>
      <c r="D9" s="23" t="s">
        <v>29</v>
      </c>
      <c r="E9" s="3" t="s">
        <v>32</v>
      </c>
    </row>
    <row r="10" spans="2:8">
      <c r="B10" s="2" t="s">
        <v>33</v>
      </c>
      <c r="C10" s="28"/>
      <c r="D10" s="23"/>
      <c r="E10" s="3" t="s">
        <v>35</v>
      </c>
    </row>
    <row r="11" spans="2:8">
      <c r="B11" s="2" t="s">
        <v>34</v>
      </c>
      <c r="C11" s="28"/>
      <c r="D11" s="23"/>
      <c r="E11" s="3" t="s">
        <v>35</v>
      </c>
    </row>
    <row r="12" spans="2:8">
      <c r="B12" s="2"/>
      <c r="C12" s="28" t="s">
        <v>36</v>
      </c>
      <c r="D12" s="23"/>
      <c r="E12" s="3" t="s">
        <v>39</v>
      </c>
    </row>
    <row r="13" spans="2:8">
      <c r="B13" s="2"/>
      <c r="C13" s="28" t="s">
        <v>37</v>
      </c>
      <c r="D13" s="23"/>
      <c r="E13" s="3" t="s">
        <v>39</v>
      </c>
    </row>
    <row r="14" spans="2:8">
      <c r="B14" s="2"/>
      <c r="C14" s="28" t="s">
        <v>38</v>
      </c>
      <c r="D14" s="23"/>
      <c r="E14" s="3" t="s">
        <v>39</v>
      </c>
    </row>
    <row r="15" spans="2:8">
      <c r="B15" s="2"/>
      <c r="C15" s="28"/>
      <c r="D15" s="23"/>
      <c r="E15" s="3"/>
    </row>
    <row r="16" spans="2:8">
      <c r="B16" s="2"/>
      <c r="C16" s="28"/>
      <c r="D16" s="23"/>
      <c r="E16" s="3"/>
    </row>
    <row r="17" spans="2:5">
      <c r="B17" s="2"/>
      <c r="C17" s="28"/>
      <c r="D17" s="23"/>
      <c r="E17" s="3"/>
    </row>
    <row r="18" spans="2:5">
      <c r="B18" s="2"/>
      <c r="C18" s="28"/>
      <c r="D18" s="23"/>
      <c r="E18" s="3"/>
    </row>
    <row r="19" spans="2:5">
      <c r="B19" s="2"/>
      <c r="C19" s="28"/>
      <c r="D19" s="23"/>
      <c r="E19" s="3"/>
    </row>
    <row r="20" spans="2:5" ht="15.75" thickBot="1">
      <c r="B20" s="4"/>
      <c r="C20" s="29"/>
      <c r="D20" s="24"/>
      <c r="E20" s="5"/>
    </row>
    <row r="21" spans="2:5" ht="15.7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9"/>
  <sheetViews>
    <sheetView showGridLines="0" zoomScale="80" zoomScaleNormal="80" workbookViewId="0">
      <selection activeCell="C17" sqref="C17"/>
    </sheetView>
  </sheetViews>
  <sheetFormatPr defaultColWidth="8.85546875" defaultRowHeight="15"/>
  <cols>
    <col min="1" max="1" width="4.42578125" customWidth="1"/>
    <col min="2" max="2" width="36.42578125" style="34" customWidth="1"/>
    <col min="3" max="3" width="31.7109375" style="34" customWidth="1"/>
    <col min="4" max="4" width="38.140625" style="34" customWidth="1"/>
    <col min="5" max="5" width="145.42578125" style="34" customWidth="1"/>
  </cols>
  <sheetData>
    <row r="1" spans="2:11">
      <c r="K1" s="21" t="s">
        <v>19</v>
      </c>
    </row>
    <row r="5" spans="2:11" ht="15.75" thickBot="1"/>
    <row r="6" spans="2:11" ht="21.6" customHeight="1" thickTop="1" thickBot="1">
      <c r="B6" s="35" t="s">
        <v>6</v>
      </c>
      <c r="C6" s="37" t="s">
        <v>5</v>
      </c>
      <c r="D6" s="37" t="s">
        <v>14</v>
      </c>
      <c r="E6" s="38" t="s">
        <v>21</v>
      </c>
    </row>
    <row r="7" spans="2:11" ht="45.75" thickTop="1">
      <c r="B7" s="36" t="s">
        <v>40</v>
      </c>
      <c r="C7" s="39" t="s">
        <v>132</v>
      </c>
      <c r="D7" s="39" t="s">
        <v>41</v>
      </c>
      <c r="E7" s="40" t="s">
        <v>64</v>
      </c>
    </row>
    <row r="8" spans="2:11">
      <c r="B8" s="36"/>
      <c r="C8" s="41"/>
      <c r="D8" s="42"/>
      <c r="E8" s="43"/>
    </row>
    <row r="9" spans="2:11">
      <c r="B9" s="36"/>
      <c r="C9" s="41"/>
      <c r="D9" s="42"/>
      <c r="E9" s="43"/>
    </row>
    <row r="10" spans="2:11">
      <c r="B10" s="36"/>
      <c r="C10" s="41"/>
      <c r="D10" s="41"/>
      <c r="E10" s="43"/>
    </row>
    <row r="11" spans="2:11">
      <c r="B11" s="36" t="s">
        <v>40</v>
      </c>
      <c r="C11" s="41" t="s">
        <v>42</v>
      </c>
      <c r="D11" s="41" t="s">
        <v>43</v>
      </c>
      <c r="E11" s="40" t="s">
        <v>44</v>
      </c>
    </row>
    <row r="12" spans="2:11" ht="45">
      <c r="B12" s="36" t="s">
        <v>40</v>
      </c>
      <c r="C12" s="41" t="s">
        <v>45</v>
      </c>
      <c r="D12" s="41" t="s">
        <v>65</v>
      </c>
      <c r="E12" s="43" t="s">
        <v>46</v>
      </c>
    </row>
    <row r="13" spans="2:11">
      <c r="B13" s="36" t="s">
        <v>40</v>
      </c>
      <c r="C13" s="41" t="s">
        <v>131</v>
      </c>
      <c r="D13" s="41" t="s">
        <v>48</v>
      </c>
      <c r="E13" s="44" t="s">
        <v>49</v>
      </c>
    </row>
    <row r="14" spans="2:11" ht="30">
      <c r="B14" s="36" t="s">
        <v>40</v>
      </c>
      <c r="C14" s="41" t="s">
        <v>130</v>
      </c>
      <c r="D14" s="41" t="s">
        <v>47</v>
      </c>
      <c r="E14" s="43" t="s">
        <v>50</v>
      </c>
    </row>
    <row r="15" spans="2:11">
      <c r="B15" s="36" t="s">
        <v>40</v>
      </c>
      <c r="C15" s="41" t="s">
        <v>66</v>
      </c>
      <c r="D15" s="41" t="s">
        <v>51</v>
      </c>
      <c r="E15" s="44" t="s">
        <v>52</v>
      </c>
    </row>
    <row r="16" spans="2:11" ht="45">
      <c r="B16" s="36" t="s">
        <v>40</v>
      </c>
      <c r="C16" s="41" t="s">
        <v>45</v>
      </c>
      <c r="D16" s="41" t="s">
        <v>66</v>
      </c>
      <c r="E16" s="40" t="s">
        <v>53</v>
      </c>
    </row>
    <row r="17" spans="2:5" ht="285">
      <c r="B17" s="33" t="s">
        <v>54</v>
      </c>
      <c r="C17" s="41" t="s">
        <v>55</v>
      </c>
      <c r="D17" s="45" t="s">
        <v>56</v>
      </c>
      <c r="E17" s="46" t="s">
        <v>57</v>
      </c>
    </row>
    <row r="18" spans="2:5" ht="45">
      <c r="B18" s="33" t="s">
        <v>54</v>
      </c>
      <c r="C18" s="41" t="s">
        <v>58</v>
      </c>
      <c r="D18" s="45" t="s">
        <v>59</v>
      </c>
      <c r="E18" s="43" t="s">
        <v>60</v>
      </c>
    </row>
    <row r="19" spans="2:5" ht="45">
      <c r="B19" s="33" t="s">
        <v>54</v>
      </c>
      <c r="C19" s="41" t="s">
        <v>61</v>
      </c>
      <c r="D19" s="45" t="s">
        <v>62</v>
      </c>
      <c r="E19" s="43" t="s">
        <v>63</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E375"/>
  <sheetViews>
    <sheetView showGridLines="0" zoomScale="80" zoomScaleNormal="80" workbookViewId="0">
      <selection activeCell="O377" sqref="O377"/>
    </sheetView>
  </sheetViews>
  <sheetFormatPr defaultColWidth="8.85546875" defaultRowHeight="15"/>
  <cols>
    <col min="1" max="1" width="4" customWidth="1"/>
    <col min="14" max="14" width="9.42578125" customWidth="1"/>
  </cols>
  <sheetData>
    <row r="1" spans="2:17">
      <c r="Q1" s="21" t="s">
        <v>19</v>
      </c>
    </row>
    <row r="11" spans="2:17" ht="18.75">
      <c r="B11" s="50" t="s">
        <v>98</v>
      </c>
    </row>
    <row r="13" spans="2:17" ht="18.75">
      <c r="B13" s="47" t="s">
        <v>68</v>
      </c>
      <c r="O13" s="50" t="s">
        <v>70</v>
      </c>
    </row>
    <row r="14" spans="2:17" ht="18.75">
      <c r="B14" s="47" t="s">
        <v>69</v>
      </c>
      <c r="O14" s="50" t="s">
        <v>71</v>
      </c>
    </row>
    <row r="15" spans="2:17" ht="18.75">
      <c r="B15" s="47" t="s">
        <v>67</v>
      </c>
    </row>
    <row r="44" spans="2:2" ht="18.75">
      <c r="B44" s="50" t="s">
        <v>72</v>
      </c>
    </row>
    <row r="49" spans="2:17" ht="18.75">
      <c r="B49" s="50" t="s">
        <v>99</v>
      </c>
    </row>
    <row r="52" spans="2:17" ht="18.75">
      <c r="B52" s="50" t="s">
        <v>100</v>
      </c>
      <c r="Q52" s="50" t="s">
        <v>73</v>
      </c>
    </row>
    <row r="87" spans="2:18" ht="18.75">
      <c r="B87" s="50" t="s">
        <v>74</v>
      </c>
    </row>
    <row r="93" spans="2:18" ht="18.75">
      <c r="B93" s="49" t="s">
        <v>101</v>
      </c>
    </row>
    <row r="96" spans="2:18" ht="18.75">
      <c r="B96" s="50" t="s">
        <v>104</v>
      </c>
      <c r="R96" s="50" t="s">
        <v>105</v>
      </c>
    </row>
    <row r="102" spans="6:6">
      <c r="F102" t="s">
        <v>102</v>
      </c>
    </row>
    <row r="130" spans="2:16">
      <c r="F130" t="s">
        <v>103</v>
      </c>
    </row>
    <row r="134" spans="2:16" ht="18.75">
      <c r="B134" s="49" t="s">
        <v>106</v>
      </c>
    </row>
    <row r="137" spans="2:16" ht="18.75">
      <c r="B137" s="50" t="s">
        <v>107</v>
      </c>
      <c r="P137" s="50" t="s">
        <v>108</v>
      </c>
    </row>
    <row r="167" spans="2:2" ht="18.75">
      <c r="B167" s="49" t="s">
        <v>109</v>
      </c>
    </row>
    <row r="168" spans="2:2">
      <c r="B168" s="48"/>
    </row>
    <row r="171" spans="2:2" ht="18.75">
      <c r="B171" s="50" t="s">
        <v>110</v>
      </c>
    </row>
    <row r="172" spans="2:2" ht="18.75">
      <c r="B172" s="50" t="s">
        <v>111</v>
      </c>
    </row>
    <row r="173" spans="2:2" ht="18.75">
      <c r="B173" s="50"/>
    </row>
    <row r="201" spans="2:2" ht="18.75">
      <c r="B201" s="50" t="s">
        <v>112</v>
      </c>
    </row>
    <row r="203" spans="2:2" ht="18.75">
      <c r="B203" s="50"/>
    </row>
    <row r="206" spans="2:2" ht="18.75">
      <c r="B206" s="50" t="s">
        <v>113</v>
      </c>
    </row>
    <row r="209" spans="2:2" ht="18.75">
      <c r="B209" s="50" t="s">
        <v>114</v>
      </c>
    </row>
    <row r="210" spans="2:2" ht="18.75">
      <c r="B210" s="50" t="s">
        <v>115</v>
      </c>
    </row>
    <row r="211" spans="2:2" ht="18.75">
      <c r="B211" s="50" t="s">
        <v>116</v>
      </c>
    </row>
    <row r="240" spans="2:2" ht="18.75">
      <c r="B240" s="49" t="s">
        <v>117</v>
      </c>
    </row>
    <row r="243" spans="2:2" ht="18.75">
      <c r="B243" s="50" t="s">
        <v>118</v>
      </c>
    </row>
    <row r="244" spans="2:2" ht="18.75">
      <c r="B244" s="50" t="s">
        <v>119</v>
      </c>
    </row>
    <row r="286" spans="2:2" ht="18.75">
      <c r="B286" s="50" t="s">
        <v>120</v>
      </c>
    </row>
    <row r="290" spans="2:31" ht="18.75">
      <c r="B290" s="49" t="s">
        <v>121</v>
      </c>
    </row>
    <row r="291" spans="2:31" ht="18.75">
      <c r="B291" s="49"/>
    </row>
    <row r="294" spans="2:31" ht="18.75">
      <c r="B294" s="50" t="s">
        <v>122</v>
      </c>
      <c r="Q294" s="50" t="s">
        <v>124</v>
      </c>
      <c r="AE294" s="50" t="s">
        <v>125</v>
      </c>
    </row>
    <row r="295" spans="2:31" ht="18.75">
      <c r="B295" s="50" t="s">
        <v>123</v>
      </c>
    </row>
    <row r="304" spans="2:31">
      <c r="H304" t="s">
        <v>67</v>
      </c>
    </row>
    <row r="329" spans="2:16">
      <c r="B329" s="48"/>
    </row>
    <row r="330" spans="2:16" ht="18.75">
      <c r="B330" s="49" t="s">
        <v>126</v>
      </c>
    </row>
    <row r="334" spans="2:16" ht="18.75">
      <c r="B334" s="50" t="s">
        <v>127</v>
      </c>
      <c r="P334" s="50" t="s">
        <v>128</v>
      </c>
    </row>
    <row r="375" spans="2:2" ht="18.75">
      <c r="B375" s="50" t="s">
        <v>129</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57"/>
  <sheetViews>
    <sheetView showGridLines="0" zoomScale="80" zoomScaleNormal="80" workbookViewId="0">
      <selection activeCell="H65" sqref="H65"/>
    </sheetView>
  </sheetViews>
  <sheetFormatPr defaultColWidth="8.85546875" defaultRowHeight="15"/>
  <cols>
    <col min="1" max="1" width="4" customWidth="1"/>
  </cols>
  <sheetData>
    <row r="1" spans="2:17">
      <c r="Q1" s="21" t="s">
        <v>19</v>
      </c>
    </row>
    <row r="12" spans="2:17">
      <c r="B12" s="22"/>
      <c r="C12" s="22"/>
      <c r="D12" s="22"/>
    </row>
    <row r="13" spans="2:17" ht="18.75">
      <c r="B13" s="49" t="s">
        <v>84</v>
      </c>
    </row>
    <row r="15" spans="2:17" ht="18.75">
      <c r="B15" s="50" t="s">
        <v>75</v>
      </c>
    </row>
    <row r="16" spans="2:17" ht="18.75">
      <c r="B16" s="50" t="s">
        <v>76</v>
      </c>
    </row>
    <row r="19" spans="2:2" ht="18.75">
      <c r="B19" s="49" t="s">
        <v>79</v>
      </c>
    </row>
    <row r="20" spans="2:2" ht="18.75">
      <c r="B20" s="50"/>
    </row>
    <row r="21" spans="2:2" ht="18.75">
      <c r="B21" s="50" t="s">
        <v>77</v>
      </c>
    </row>
    <row r="22" spans="2:2" ht="18.75">
      <c r="B22" s="50" t="s">
        <v>78</v>
      </c>
    </row>
    <row r="25" spans="2:2" ht="18.75">
      <c r="B25" s="49" t="s">
        <v>80</v>
      </c>
    </row>
    <row r="27" spans="2:2" ht="18.75">
      <c r="B27" s="50" t="s">
        <v>81</v>
      </c>
    </row>
    <row r="28" spans="2:2" ht="18.75">
      <c r="B28" s="50" t="s">
        <v>82</v>
      </c>
    </row>
    <row r="31" spans="2:2" ht="18.75">
      <c r="B31" s="49" t="s">
        <v>83</v>
      </c>
    </row>
    <row r="33" spans="2:2" ht="18.75">
      <c r="B33" s="50" t="s">
        <v>85</v>
      </c>
    </row>
    <row r="34" spans="2:2" ht="18.75">
      <c r="B34" s="50" t="s">
        <v>86</v>
      </c>
    </row>
    <row r="37" spans="2:2" ht="18.75">
      <c r="B37" s="49" t="s">
        <v>87</v>
      </c>
    </row>
    <row r="39" spans="2:2" ht="18.75">
      <c r="B39" s="50" t="s">
        <v>88</v>
      </c>
    </row>
    <row r="40" spans="2:2" ht="18.75">
      <c r="B40" s="50" t="s">
        <v>89</v>
      </c>
    </row>
    <row r="43" spans="2:2" ht="18.75">
      <c r="B43" s="49" t="s">
        <v>90</v>
      </c>
    </row>
    <row r="45" spans="2:2" ht="18.75">
      <c r="B45" s="50" t="s">
        <v>91</v>
      </c>
    </row>
    <row r="48" spans="2:2" ht="18.75">
      <c r="B48" s="49" t="s">
        <v>92</v>
      </c>
    </row>
    <row r="50" spans="2:2" ht="18.75">
      <c r="B50" s="50" t="s">
        <v>93</v>
      </c>
    </row>
    <row r="51" spans="2:2" ht="18.75">
      <c r="B51" s="50" t="s">
        <v>94</v>
      </c>
    </row>
    <row r="54" spans="2:2" ht="18.75">
      <c r="B54" s="49" t="s">
        <v>95</v>
      </c>
    </row>
    <row r="56" spans="2:2" ht="18.75">
      <c r="B56" s="50" t="s">
        <v>96</v>
      </c>
    </row>
    <row r="57" spans="2:2" ht="18.75">
      <c r="B57" s="50" t="s">
        <v>97</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ryan bauer</cp:lastModifiedBy>
  <dcterms:created xsi:type="dcterms:W3CDTF">2020-03-05T18:09:11Z</dcterms:created>
  <dcterms:modified xsi:type="dcterms:W3CDTF">2025-12-21T19:25:03Z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